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基础攻防" sheetId="1" r:id="rId1"/>
    <sheet name="成长" sheetId="2" r:id="rId2"/>
    <sheet name="战斗模拟" sheetId="3" r:id="rId3"/>
  </sheets>
  <calcPr calcId="125725"/>
</workbook>
</file>

<file path=xl/calcChain.xml><?xml version="1.0" encoding="utf-8"?>
<calcChain xmlns="http://schemas.openxmlformats.org/spreadsheetml/2006/main">
  <c r="L33" i="2"/>
  <c r="M33"/>
  <c r="M34" s="1"/>
  <c r="M35" s="1"/>
  <c r="M36" s="1"/>
  <c r="M37" s="1"/>
  <c r="M38" s="1"/>
  <c r="M39" s="1"/>
  <c r="M40" s="1"/>
  <c r="M41" s="1"/>
  <c r="M42" s="1"/>
  <c r="N33"/>
  <c r="L34"/>
  <c r="N34"/>
  <c r="N35" s="1"/>
  <c r="N36" s="1"/>
  <c r="N37" s="1"/>
  <c r="N38" s="1"/>
  <c r="N39" s="1"/>
  <c r="N40" s="1"/>
  <c r="N41" s="1"/>
  <c r="N42" s="1"/>
  <c r="L35"/>
  <c r="L36"/>
  <c r="L37" s="1"/>
  <c r="L38" s="1"/>
  <c r="L39" s="1"/>
  <c r="L40" s="1"/>
  <c r="L41" s="1"/>
  <c r="L42" s="1"/>
  <c r="N32"/>
  <c r="M32"/>
  <c r="L32"/>
  <c r="O32" s="1"/>
  <c r="L20"/>
  <c r="L21" s="1"/>
  <c r="L22" s="1"/>
  <c r="L23" s="1"/>
  <c r="L24" s="1"/>
  <c r="L25" s="1"/>
  <c r="L26" s="1"/>
  <c r="L27" s="1"/>
  <c r="L28" s="1"/>
  <c r="L29" s="1"/>
  <c r="M20"/>
  <c r="N20"/>
  <c r="M21"/>
  <c r="M22" s="1"/>
  <c r="M23" s="1"/>
  <c r="M24" s="1"/>
  <c r="M25" s="1"/>
  <c r="M26" s="1"/>
  <c r="M27" s="1"/>
  <c r="M28" s="1"/>
  <c r="M29" s="1"/>
  <c r="N21"/>
  <c r="N22"/>
  <c r="N23" s="1"/>
  <c r="N24" s="1"/>
  <c r="N25" s="1"/>
  <c r="N26" s="1"/>
  <c r="N27" s="1"/>
  <c r="N28" s="1"/>
  <c r="N29" s="1"/>
  <c r="M19"/>
  <c r="N19"/>
  <c r="L19"/>
  <c r="D15" i="1"/>
  <c r="H15"/>
  <c r="E16"/>
  <c r="C15"/>
  <c r="C14"/>
  <c r="F9"/>
  <c r="F14" s="1"/>
  <c r="G9"/>
  <c r="G14" s="1"/>
  <c r="H9"/>
  <c r="H14" s="1"/>
  <c r="F10"/>
  <c r="F15" s="1"/>
  <c r="G10"/>
  <c r="G15" s="1"/>
  <c r="H10"/>
  <c r="F11"/>
  <c r="F16" s="1"/>
  <c r="G11"/>
  <c r="G16" s="1"/>
  <c r="H11"/>
  <c r="H16" s="1"/>
  <c r="E10"/>
  <c r="E15" s="1"/>
  <c r="E11"/>
  <c r="E9"/>
  <c r="E14" s="1"/>
  <c r="D11"/>
  <c r="D16" s="1"/>
  <c r="D10"/>
  <c r="D9"/>
  <c r="D14" s="1"/>
  <c r="C11"/>
  <c r="C16" s="1"/>
  <c r="C10"/>
  <c r="C9"/>
  <c r="P19" i="2"/>
  <c r="L6"/>
  <c r="M6"/>
  <c r="M7" s="1"/>
  <c r="M8" s="1"/>
  <c r="M9" s="1"/>
  <c r="M10" s="1"/>
  <c r="M11" s="1"/>
  <c r="M12" s="1"/>
  <c r="M13" s="1"/>
  <c r="N6"/>
  <c r="N7" s="1"/>
  <c r="N8" s="1"/>
  <c r="N9" s="1"/>
  <c r="N10" s="1"/>
  <c r="N11" s="1"/>
  <c r="N12" s="1"/>
  <c r="N13" s="1"/>
  <c r="N14" s="1"/>
  <c r="N15" s="1"/>
  <c r="L7"/>
  <c r="L8"/>
  <c r="L9" s="1"/>
  <c r="L10" s="1"/>
  <c r="L11" s="1"/>
  <c r="L12" s="1"/>
  <c r="L13" s="1"/>
  <c r="N5"/>
  <c r="M5"/>
  <c r="L5"/>
  <c r="Q31"/>
  <c r="P31"/>
  <c r="O31"/>
  <c r="O18"/>
  <c r="P18"/>
  <c r="Q18"/>
  <c r="O19"/>
  <c r="P4"/>
  <c r="Q4"/>
  <c r="O4"/>
  <c r="G6" i="1"/>
  <c r="G7" s="1"/>
  <c r="H6"/>
  <c r="H7" s="1"/>
  <c r="D6"/>
  <c r="D7" s="1"/>
  <c r="E6"/>
  <c r="E7" s="1"/>
  <c r="F6"/>
  <c r="F7" s="1"/>
  <c r="C6"/>
  <c r="C7" s="1"/>
  <c r="N8"/>
  <c r="O8"/>
  <c r="P8"/>
  <c r="N9"/>
  <c r="O9"/>
  <c r="P9"/>
  <c r="N10"/>
  <c r="O10"/>
  <c r="P10"/>
  <c r="I3" i="2"/>
  <c r="I4" s="1"/>
  <c r="I5" s="1"/>
  <c r="I6" s="1"/>
  <c r="I7" s="1"/>
  <c r="C3"/>
  <c r="C4" s="1"/>
  <c r="C5" s="1"/>
  <c r="C6" s="1"/>
  <c r="C7" s="1"/>
  <c r="F3"/>
  <c r="F4" s="1"/>
  <c r="F5" s="1"/>
  <c r="F6" s="1"/>
  <c r="F7" s="1"/>
  <c r="E4"/>
  <c r="E5" s="1"/>
  <c r="E6" s="1"/>
  <c r="E7" s="1"/>
  <c r="H4"/>
  <c r="H5" s="1"/>
  <c r="H6" s="1"/>
  <c r="H7" s="1"/>
  <c r="B4"/>
  <c r="B5" s="1"/>
  <c r="B6" s="1"/>
  <c r="B7" s="1"/>
  <c r="Q33" l="1"/>
  <c r="Q32"/>
  <c r="Q19"/>
  <c r="P13"/>
  <c r="M14"/>
  <c r="M15" s="1"/>
  <c r="O13"/>
  <c r="L14"/>
  <c r="L15" s="1"/>
  <c r="Q13"/>
  <c r="P33"/>
  <c r="P32"/>
  <c r="O14"/>
  <c r="P5"/>
  <c r="P9"/>
  <c r="O5"/>
  <c r="P12"/>
  <c r="P8"/>
  <c r="P10"/>
  <c r="P6"/>
  <c r="P11"/>
  <c r="P7"/>
  <c r="O11"/>
  <c r="O9"/>
  <c r="O7"/>
  <c r="O12"/>
  <c r="O10"/>
  <c r="O8"/>
  <c r="O6"/>
  <c r="Q11"/>
  <c r="Q7"/>
  <c r="Q10"/>
  <c r="Q6"/>
  <c r="Q9"/>
  <c r="Q5"/>
  <c r="Q12"/>
  <c r="Q8"/>
  <c r="Q20" l="1"/>
  <c r="P20"/>
  <c r="P34"/>
  <c r="O33"/>
  <c r="O20"/>
  <c r="Q15"/>
  <c r="Q14"/>
  <c r="P14"/>
  <c r="P15"/>
  <c r="O15"/>
  <c r="Q34"/>
  <c r="Q21" l="1"/>
  <c r="P21"/>
  <c r="P35"/>
  <c r="O34"/>
  <c r="O21"/>
  <c r="Q35"/>
  <c r="Q22" l="1"/>
  <c r="P22"/>
  <c r="P36"/>
  <c r="O35"/>
  <c r="O22"/>
  <c r="Q36"/>
  <c r="Q23" l="1"/>
  <c r="P23"/>
  <c r="P37"/>
  <c r="O36"/>
  <c r="O23"/>
  <c r="Q37"/>
  <c r="Q24" l="1"/>
  <c r="P24"/>
  <c r="P38"/>
  <c r="O37"/>
  <c r="O24"/>
  <c r="Q38"/>
  <c r="Q25" l="1"/>
  <c r="P25"/>
  <c r="P39"/>
  <c r="O38"/>
  <c r="O25"/>
  <c r="Q39"/>
  <c r="Q40" l="1"/>
  <c r="Q26"/>
  <c r="P26"/>
  <c r="P40"/>
  <c r="O39"/>
  <c r="O26"/>
  <c r="Q42" l="1"/>
  <c r="Q41"/>
  <c r="Q27"/>
  <c r="P27"/>
  <c r="P42"/>
  <c r="P41"/>
  <c r="O40"/>
  <c r="O27"/>
  <c r="Q28" l="1"/>
  <c r="Q29"/>
  <c r="P29"/>
  <c r="P28"/>
  <c r="O41"/>
  <c r="O42"/>
  <c r="O29"/>
  <c r="O28"/>
</calcChain>
</file>

<file path=xl/sharedStrings.xml><?xml version="1.0" encoding="utf-8"?>
<sst xmlns="http://schemas.openxmlformats.org/spreadsheetml/2006/main" count="54" uniqueCount="45">
  <si>
    <t>成长系数</t>
    <phoneticPr fontId="1" type="noConversion"/>
  </si>
  <si>
    <t>等级</t>
    <phoneticPr fontId="1" type="noConversion"/>
  </si>
  <si>
    <t>平衡型攻击</t>
    <phoneticPr fontId="1" type="noConversion"/>
  </si>
  <si>
    <t>平衡型生命</t>
    <phoneticPr fontId="1" type="noConversion"/>
  </si>
  <si>
    <t>力量型生命</t>
    <phoneticPr fontId="1" type="noConversion"/>
  </si>
  <si>
    <t>力量型攻击</t>
    <phoneticPr fontId="1" type="noConversion"/>
  </si>
  <si>
    <t>敏捷型生命</t>
    <phoneticPr fontId="1" type="noConversion"/>
  </si>
  <si>
    <t>敏捷型攻击</t>
    <phoneticPr fontId="1" type="noConversion"/>
  </si>
  <si>
    <t>预置命中次数</t>
    <phoneticPr fontId="1" type="noConversion"/>
  </si>
  <si>
    <t>平衡</t>
    <phoneticPr fontId="1" type="noConversion"/>
  </si>
  <si>
    <t>力量</t>
    <phoneticPr fontId="1" type="noConversion"/>
  </si>
  <si>
    <t>敏捷</t>
    <phoneticPr fontId="1" type="noConversion"/>
  </si>
  <si>
    <t>平衡</t>
    <phoneticPr fontId="1" type="noConversion"/>
  </si>
  <si>
    <t>攻击方</t>
    <phoneticPr fontId="1" type="noConversion"/>
  </si>
  <si>
    <t>受击方</t>
    <phoneticPr fontId="1" type="noConversion"/>
  </si>
  <si>
    <t>品质</t>
    <phoneticPr fontId="1" type="noConversion"/>
  </si>
  <si>
    <t>类型</t>
    <phoneticPr fontId="1" type="noConversion"/>
  </si>
  <si>
    <t>蓝色</t>
    <phoneticPr fontId="1" type="noConversion"/>
  </si>
  <si>
    <t>紫色</t>
    <phoneticPr fontId="1" type="noConversion"/>
  </si>
  <si>
    <t>金色</t>
    <phoneticPr fontId="1" type="noConversion"/>
  </si>
  <si>
    <t>平衡</t>
    <phoneticPr fontId="1" type="noConversion"/>
  </si>
  <si>
    <t>力量</t>
    <phoneticPr fontId="1" type="noConversion"/>
  </si>
  <si>
    <t>敏捷</t>
    <phoneticPr fontId="1" type="noConversion"/>
  </si>
  <si>
    <t>生命</t>
    <phoneticPr fontId="1" type="noConversion"/>
  </si>
  <si>
    <t>攻击</t>
    <phoneticPr fontId="1" type="noConversion"/>
  </si>
  <si>
    <t>成长系数</t>
    <phoneticPr fontId="1" type="noConversion"/>
  </si>
  <si>
    <t>VS</t>
    <phoneticPr fontId="1" type="noConversion"/>
  </si>
  <si>
    <t>hp</t>
    <phoneticPr fontId="1" type="noConversion"/>
  </si>
  <si>
    <t>atk</t>
    <phoneticPr fontId="1" type="noConversion"/>
  </si>
  <si>
    <t>等级成长系数</t>
    <phoneticPr fontId="1" type="noConversion"/>
  </si>
  <si>
    <t>A角色类型</t>
    <phoneticPr fontId="1" type="noConversion"/>
  </si>
  <si>
    <t>A角色品质</t>
    <phoneticPr fontId="1" type="noConversion"/>
  </si>
  <si>
    <t>B角色类型</t>
    <phoneticPr fontId="1" type="noConversion"/>
  </si>
  <si>
    <t>B角色品质</t>
    <phoneticPr fontId="1" type="noConversion"/>
  </si>
  <si>
    <t>B角色等级</t>
    <phoneticPr fontId="1" type="noConversion"/>
  </si>
  <si>
    <t>击杀B，需命中</t>
    <phoneticPr fontId="1" type="noConversion"/>
  </si>
  <si>
    <t>次</t>
    <phoneticPr fontId="1" type="noConversion"/>
  </si>
  <si>
    <t>击杀A，需命中</t>
    <phoneticPr fontId="1" type="noConversion"/>
  </si>
  <si>
    <t>平衡型防御</t>
    <phoneticPr fontId="1" type="noConversion"/>
  </si>
  <si>
    <t>力量型防御</t>
    <phoneticPr fontId="1" type="noConversion"/>
  </si>
  <si>
    <t>敏捷型防御</t>
    <phoneticPr fontId="1" type="noConversion"/>
  </si>
  <si>
    <t>平衡减伤</t>
    <phoneticPr fontId="1" type="noConversion"/>
  </si>
  <si>
    <t>力量减伤</t>
    <phoneticPr fontId="1" type="noConversion"/>
  </si>
  <si>
    <t>敏捷减伤</t>
    <phoneticPr fontId="1" type="noConversion"/>
  </si>
  <si>
    <t>A角色等级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</si>
</sst>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Tahoma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 diagonalDown="1">
      <left/>
      <right/>
      <top/>
      <bottom/>
      <diagonal style="thin">
        <color auto="1"/>
      </diagonal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0" fillId="3" borderId="0" xfId="0" applyFill="1"/>
    <xf numFmtId="0" fontId="0" fillId="0" borderId="1" xfId="0" applyBorder="1"/>
    <xf numFmtId="0" fontId="2" fillId="0" borderId="1" xfId="0" applyFont="1" applyBorder="1"/>
    <xf numFmtId="0" fontId="0" fillId="0" borderId="3" xfId="0" applyBorder="1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0" fontId="0" fillId="0" borderId="0" xfId="0" applyBorder="1"/>
    <xf numFmtId="0" fontId="2" fillId="0" borderId="8" xfId="0" applyFont="1" applyBorder="1"/>
    <xf numFmtId="0" fontId="2" fillId="0" borderId="2" xfId="0" applyFont="1" applyBorder="1" applyAlignment="1"/>
    <xf numFmtId="0" fontId="2" fillId="0" borderId="7" xfId="0" applyFont="1" applyBorder="1" applyAlignment="1"/>
    <xf numFmtId="0" fontId="2" fillId="0" borderId="0" xfId="0" applyFont="1" applyBorder="1" applyAlignment="1"/>
    <xf numFmtId="0" fontId="2" fillId="0" borderId="5" xfId="0" applyFont="1" applyBorder="1" applyAlignme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6"/>
  <sheetViews>
    <sheetView workbookViewId="0">
      <selection activeCell="I16" sqref="I16"/>
    </sheetView>
  </sheetViews>
  <sheetFormatPr defaultRowHeight="14.25"/>
  <sheetData>
    <row r="1" spans="1:16">
      <c r="B1" s="1" t="s">
        <v>25</v>
      </c>
      <c r="C1">
        <v>0.2</v>
      </c>
      <c r="E1" s="1" t="s">
        <v>29</v>
      </c>
      <c r="F1">
        <v>0.05</v>
      </c>
    </row>
    <row r="3" spans="1:16">
      <c r="A3" s="7"/>
      <c r="B3" s="9" t="s">
        <v>16</v>
      </c>
      <c r="C3" s="22" t="s">
        <v>20</v>
      </c>
      <c r="D3" s="21"/>
      <c r="E3" s="21" t="s">
        <v>21</v>
      </c>
      <c r="F3" s="21"/>
      <c r="G3" s="21" t="s">
        <v>22</v>
      </c>
      <c r="H3" s="21"/>
    </row>
    <row r="4" spans="1:16">
      <c r="A4" s="8" t="s">
        <v>15</v>
      </c>
      <c r="B4" s="10"/>
      <c r="C4" s="12" t="s">
        <v>23</v>
      </c>
      <c r="D4" s="8" t="s">
        <v>24</v>
      </c>
      <c r="E4" s="8" t="s">
        <v>23</v>
      </c>
      <c r="F4" s="8" t="s">
        <v>24</v>
      </c>
      <c r="G4" s="8" t="s">
        <v>23</v>
      </c>
      <c r="H4" s="8" t="s">
        <v>24</v>
      </c>
    </row>
    <row r="5" spans="1:16">
      <c r="A5" s="13" t="s">
        <v>17</v>
      </c>
      <c r="B5" s="14">
        <v>1</v>
      </c>
      <c r="C5" s="11">
        <v>900</v>
      </c>
      <c r="D5" s="11">
        <v>225</v>
      </c>
      <c r="E5" s="11">
        <v>1000</v>
      </c>
      <c r="F5" s="11">
        <v>250</v>
      </c>
      <c r="G5" s="11">
        <v>800</v>
      </c>
      <c r="H5" s="11">
        <v>200</v>
      </c>
    </row>
    <row r="6" spans="1:16">
      <c r="A6" s="15" t="s">
        <v>18</v>
      </c>
      <c r="B6" s="16">
        <v>2</v>
      </c>
      <c r="C6">
        <f>INT(C5*(1+$C$1))</f>
        <v>1080</v>
      </c>
      <c r="D6">
        <f t="shared" ref="D6:F7" si="0">INT(D5*(1+$C$1))</f>
        <v>270</v>
      </c>
      <c r="E6">
        <f t="shared" si="0"/>
        <v>1200</v>
      </c>
      <c r="F6">
        <f t="shared" si="0"/>
        <v>300</v>
      </c>
      <c r="G6">
        <f t="shared" ref="G6" si="1">INT(G5*(1+$C$1))</f>
        <v>960</v>
      </c>
      <c r="H6">
        <f t="shared" ref="H6:H7" si="2">INT(H5*(1+$C$1))</f>
        <v>240</v>
      </c>
      <c r="N6" s="24" t="s">
        <v>13</v>
      </c>
      <c r="O6" s="24"/>
      <c r="P6" s="24"/>
    </row>
    <row r="7" spans="1:16">
      <c r="A7" s="15" t="s">
        <v>19</v>
      </c>
      <c r="B7" s="16">
        <v>3</v>
      </c>
      <c r="C7">
        <f>INT(C6*(1+$C$1))</f>
        <v>1296</v>
      </c>
      <c r="D7">
        <f t="shared" si="0"/>
        <v>324</v>
      </c>
      <c r="E7">
        <f t="shared" si="0"/>
        <v>1440</v>
      </c>
      <c r="F7">
        <f t="shared" si="0"/>
        <v>360</v>
      </c>
      <c r="G7">
        <f>INT(G6*(1+$C$1))</f>
        <v>1152</v>
      </c>
      <c r="H7">
        <f t="shared" si="2"/>
        <v>288</v>
      </c>
      <c r="M7" s="5"/>
      <c r="N7" s="6" t="s">
        <v>12</v>
      </c>
      <c r="O7" s="6" t="s">
        <v>10</v>
      </c>
      <c r="P7" s="6" t="s">
        <v>11</v>
      </c>
    </row>
    <row r="8" spans="1:16">
      <c r="L8" s="23" t="s">
        <v>14</v>
      </c>
      <c r="M8" s="6" t="s">
        <v>9</v>
      </c>
      <c r="N8" s="5">
        <f>成长!B3/成长!C3</f>
        <v>4</v>
      </c>
      <c r="O8" s="5">
        <f>成长!B3/成长!F3</f>
        <v>3.6</v>
      </c>
      <c r="P8" s="5">
        <f>成长!B3/成长!I3</f>
        <v>4.5</v>
      </c>
    </row>
    <row r="9" spans="1:16">
      <c r="C9">
        <f>C5*F1</f>
        <v>45</v>
      </c>
      <c r="D9">
        <f>D5*F1</f>
        <v>11.25</v>
      </c>
      <c r="E9">
        <f>E5*$F$1</f>
        <v>50</v>
      </c>
      <c r="F9">
        <f t="shared" ref="F9:H9" si="3">F5*$F$1</f>
        <v>12.5</v>
      </c>
      <c r="G9">
        <f t="shared" si="3"/>
        <v>40</v>
      </c>
      <c r="H9">
        <f t="shared" si="3"/>
        <v>10</v>
      </c>
      <c r="L9" s="23"/>
      <c r="M9" s="6" t="s">
        <v>10</v>
      </c>
      <c r="N9" s="5">
        <f>成长!E3/成长!C3</f>
        <v>4.4444444444444446</v>
      </c>
      <c r="O9" s="5">
        <f>成长!E3/成长!F3</f>
        <v>4</v>
      </c>
      <c r="P9" s="5">
        <f>成长!E3/成长!I3</f>
        <v>5</v>
      </c>
    </row>
    <row r="10" spans="1:16">
      <c r="C10">
        <f>C6*F1</f>
        <v>54</v>
      </c>
      <c r="D10">
        <f>D6*F1</f>
        <v>13.5</v>
      </c>
      <c r="E10">
        <f t="shared" ref="E10:H11" si="4">E6*$F$1</f>
        <v>60</v>
      </c>
      <c r="F10">
        <f t="shared" si="4"/>
        <v>15</v>
      </c>
      <c r="G10">
        <f t="shared" si="4"/>
        <v>48</v>
      </c>
      <c r="H10">
        <f t="shared" si="4"/>
        <v>12</v>
      </c>
      <c r="L10" s="23"/>
      <c r="M10" s="6" t="s">
        <v>11</v>
      </c>
      <c r="N10" s="5">
        <f>成长!H3/成长!C3</f>
        <v>3.5555555555555554</v>
      </c>
      <c r="O10" s="5">
        <f>成长!H3/成长!F3</f>
        <v>3.2</v>
      </c>
      <c r="P10" s="5">
        <f>成长!H3/成长!I3</f>
        <v>4</v>
      </c>
    </row>
    <row r="11" spans="1:16">
      <c r="C11">
        <f>C7*F1</f>
        <v>64.8</v>
      </c>
      <c r="D11">
        <f>D7*F1</f>
        <v>16.2</v>
      </c>
      <c r="E11">
        <f t="shared" si="4"/>
        <v>72</v>
      </c>
      <c r="F11">
        <f t="shared" si="4"/>
        <v>18</v>
      </c>
      <c r="G11">
        <f t="shared" si="4"/>
        <v>57.6</v>
      </c>
      <c r="H11">
        <f t="shared" si="4"/>
        <v>14.4</v>
      </c>
    </row>
    <row r="14" spans="1:16">
      <c r="C14">
        <f>C5+C9*12</f>
        <v>1440</v>
      </c>
      <c r="D14">
        <f t="shared" ref="D14:H14" si="5">D5+D9*12</f>
        <v>360</v>
      </c>
      <c r="E14">
        <f t="shared" si="5"/>
        <v>1600</v>
      </c>
      <c r="F14">
        <f t="shared" si="5"/>
        <v>400</v>
      </c>
      <c r="G14">
        <f t="shared" si="5"/>
        <v>1280</v>
      </c>
      <c r="H14">
        <f t="shared" si="5"/>
        <v>320</v>
      </c>
    </row>
    <row r="15" spans="1:16">
      <c r="C15">
        <f t="shared" ref="C15:H16" si="6">C6+C10*12</f>
        <v>1728</v>
      </c>
      <c r="D15">
        <f t="shared" si="6"/>
        <v>432</v>
      </c>
      <c r="E15">
        <f t="shared" si="6"/>
        <v>1920</v>
      </c>
      <c r="F15">
        <f t="shared" si="6"/>
        <v>480</v>
      </c>
      <c r="G15">
        <f t="shared" si="6"/>
        <v>1536</v>
      </c>
      <c r="H15">
        <f t="shared" si="6"/>
        <v>384</v>
      </c>
    </row>
    <row r="16" spans="1:16">
      <c r="C16">
        <f t="shared" si="6"/>
        <v>2073.6</v>
      </c>
      <c r="D16">
        <f t="shared" si="6"/>
        <v>518.4</v>
      </c>
      <c r="E16">
        <f t="shared" si="6"/>
        <v>2304</v>
      </c>
      <c r="F16">
        <f t="shared" si="6"/>
        <v>576</v>
      </c>
      <c r="G16">
        <f t="shared" si="6"/>
        <v>1843.2</v>
      </c>
      <c r="H16">
        <f t="shared" si="6"/>
        <v>460.8</v>
      </c>
    </row>
  </sheetData>
  <mergeCells count="5">
    <mergeCell ref="G3:H3"/>
    <mergeCell ref="E3:F3"/>
    <mergeCell ref="C3:D3"/>
    <mergeCell ref="L8:L10"/>
    <mergeCell ref="N6:P6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42"/>
  <sheetViews>
    <sheetView tabSelected="1" workbookViewId="0">
      <selection activeCell="J18" sqref="J18"/>
    </sheetView>
  </sheetViews>
  <sheetFormatPr defaultRowHeight="14.25"/>
  <cols>
    <col min="2" max="4" width="11.5" customWidth="1"/>
    <col min="5" max="5" width="13.625" customWidth="1"/>
    <col min="6" max="9" width="11.5" customWidth="1"/>
    <col min="13" max="13" width="9.25" bestFit="1" customWidth="1"/>
  </cols>
  <sheetData>
    <row r="1" spans="1:17" s="2" customFormat="1">
      <c r="B1" s="3" t="s">
        <v>0</v>
      </c>
      <c r="C1" s="2">
        <v>0.05</v>
      </c>
      <c r="F1" s="3" t="s">
        <v>8</v>
      </c>
      <c r="G1" s="3"/>
      <c r="H1" s="2">
        <v>4</v>
      </c>
    </row>
    <row r="2" spans="1:17">
      <c r="A2" s="1" t="s">
        <v>1</v>
      </c>
      <c r="B2" s="1" t="s">
        <v>3</v>
      </c>
      <c r="C2" s="1" t="s">
        <v>2</v>
      </c>
      <c r="D2" s="1" t="s">
        <v>38</v>
      </c>
      <c r="E2" s="1" t="s">
        <v>4</v>
      </c>
      <c r="F2" s="1" t="s">
        <v>5</v>
      </c>
      <c r="G2" s="1" t="s">
        <v>39</v>
      </c>
      <c r="H2" s="1" t="s">
        <v>6</v>
      </c>
      <c r="I2" s="1" t="s">
        <v>7</v>
      </c>
      <c r="J2" s="1" t="s">
        <v>40</v>
      </c>
    </row>
    <row r="3" spans="1:17">
      <c r="A3">
        <v>1</v>
      </c>
      <c r="B3" s="4">
        <v>900</v>
      </c>
      <c r="C3">
        <f>INT(B3/H1)</f>
        <v>225</v>
      </c>
      <c r="E3" s="4">
        <v>1000</v>
      </c>
      <c r="F3">
        <f>INT(E3/H1)</f>
        <v>250</v>
      </c>
      <c r="H3" s="4">
        <v>800</v>
      </c>
      <c r="I3">
        <f>INT(H3/H1)</f>
        <v>200</v>
      </c>
      <c r="O3" s="1" t="s">
        <v>41</v>
      </c>
      <c r="P3" s="1" t="s">
        <v>42</v>
      </c>
      <c r="Q3" s="1" t="s">
        <v>43</v>
      </c>
    </row>
    <row r="4" spans="1:17">
      <c r="A4">
        <v>2</v>
      </c>
      <c r="B4">
        <f>INT(B3+B$3*$C$1)</f>
        <v>945</v>
      </c>
      <c r="C4">
        <f t="shared" ref="C4:I19" si="0">INT(C3+C$3*$C$1)</f>
        <v>236</v>
      </c>
      <c r="E4">
        <f t="shared" si="0"/>
        <v>1050</v>
      </c>
      <c r="F4">
        <f t="shared" si="0"/>
        <v>262</v>
      </c>
      <c r="H4">
        <f t="shared" si="0"/>
        <v>840</v>
      </c>
      <c r="I4">
        <f t="shared" si="0"/>
        <v>210</v>
      </c>
      <c r="L4">
        <v>12</v>
      </c>
      <c r="M4" s="20">
        <v>15</v>
      </c>
      <c r="N4">
        <v>10</v>
      </c>
      <c r="O4">
        <f>1-(100/(100+L4))</f>
        <v>0.1071428571428571</v>
      </c>
      <c r="P4">
        <f t="shared" ref="P4:Q4" si="1">1-(100/(100+M4))</f>
        <v>0.13043478260869568</v>
      </c>
      <c r="Q4">
        <f t="shared" si="1"/>
        <v>9.0909090909090939E-2</v>
      </c>
    </row>
    <row r="5" spans="1:17">
      <c r="A5">
        <v>3</v>
      </c>
      <c r="B5">
        <f t="shared" ref="B5:B42" si="2">INT(B4+B$3*$C$1)</f>
        <v>990</v>
      </c>
      <c r="C5">
        <f t="shared" si="0"/>
        <v>247</v>
      </c>
      <c r="E5">
        <f t="shared" si="0"/>
        <v>1100</v>
      </c>
      <c r="F5">
        <f t="shared" si="0"/>
        <v>274</v>
      </c>
      <c r="H5">
        <f t="shared" si="0"/>
        <v>880</v>
      </c>
      <c r="I5">
        <f t="shared" si="0"/>
        <v>220</v>
      </c>
      <c r="L5">
        <f>L4+1</f>
        <v>13</v>
      </c>
      <c r="M5">
        <f>M4+1</f>
        <v>16</v>
      </c>
      <c r="N5">
        <f>N4+1</f>
        <v>11</v>
      </c>
      <c r="O5">
        <f t="shared" ref="O5:O13" si="3">1-(100/(100+L5))</f>
        <v>0.11504424778761058</v>
      </c>
      <c r="P5">
        <f t="shared" ref="P5:P13" si="4">1-(100/(100+M5))</f>
        <v>0.13793103448275867</v>
      </c>
      <c r="Q5">
        <f t="shared" ref="Q5:Q13" si="5">1-(100/(100+N5))</f>
        <v>9.9099099099099086E-2</v>
      </c>
    </row>
    <row r="6" spans="1:17">
      <c r="A6">
        <v>4</v>
      </c>
      <c r="B6">
        <f t="shared" si="2"/>
        <v>1035</v>
      </c>
      <c r="C6">
        <f t="shared" si="0"/>
        <v>258</v>
      </c>
      <c r="E6">
        <f t="shared" si="0"/>
        <v>1150</v>
      </c>
      <c r="F6">
        <f t="shared" si="0"/>
        <v>286</v>
      </c>
      <c r="H6">
        <f t="shared" si="0"/>
        <v>920</v>
      </c>
      <c r="I6">
        <f t="shared" si="0"/>
        <v>230</v>
      </c>
      <c r="L6">
        <f t="shared" ref="L6:L15" si="6">L5+1</f>
        <v>14</v>
      </c>
      <c r="M6">
        <f t="shared" ref="M6:M15" si="7">M5+1</f>
        <v>17</v>
      </c>
      <c r="N6">
        <f t="shared" ref="N6:N15" si="8">N5+1</f>
        <v>12</v>
      </c>
      <c r="O6">
        <f t="shared" si="3"/>
        <v>0.1228070175438597</v>
      </c>
      <c r="P6">
        <f t="shared" si="4"/>
        <v>0.14529914529914534</v>
      </c>
      <c r="Q6">
        <f t="shared" si="5"/>
        <v>0.1071428571428571</v>
      </c>
    </row>
    <row r="7" spans="1:17">
      <c r="A7">
        <v>5</v>
      </c>
      <c r="B7">
        <f t="shared" si="2"/>
        <v>1080</v>
      </c>
      <c r="C7">
        <f t="shared" si="0"/>
        <v>269</v>
      </c>
      <c r="E7">
        <f t="shared" si="0"/>
        <v>1200</v>
      </c>
      <c r="F7">
        <f t="shared" si="0"/>
        <v>298</v>
      </c>
      <c r="H7">
        <f t="shared" si="0"/>
        <v>960</v>
      </c>
      <c r="I7">
        <f t="shared" si="0"/>
        <v>240</v>
      </c>
      <c r="L7">
        <f t="shared" si="6"/>
        <v>15</v>
      </c>
      <c r="M7">
        <f t="shared" si="7"/>
        <v>18</v>
      </c>
      <c r="N7">
        <f t="shared" si="8"/>
        <v>13</v>
      </c>
      <c r="O7">
        <f t="shared" si="3"/>
        <v>0.13043478260869568</v>
      </c>
      <c r="P7">
        <f t="shared" si="4"/>
        <v>0.15254237288135597</v>
      </c>
      <c r="Q7">
        <f t="shared" si="5"/>
        <v>0.11504424778761058</v>
      </c>
    </row>
    <row r="8" spans="1:17">
      <c r="L8">
        <f t="shared" si="6"/>
        <v>16</v>
      </c>
      <c r="M8">
        <f t="shared" si="7"/>
        <v>19</v>
      </c>
      <c r="N8">
        <f t="shared" si="8"/>
        <v>14</v>
      </c>
      <c r="O8">
        <f t="shared" si="3"/>
        <v>0.13793103448275867</v>
      </c>
      <c r="P8">
        <f t="shared" si="4"/>
        <v>0.15966386554621848</v>
      </c>
      <c r="Q8">
        <f t="shared" si="5"/>
        <v>0.1228070175438597</v>
      </c>
    </row>
    <row r="9" spans="1:17">
      <c r="L9">
        <f t="shared" si="6"/>
        <v>17</v>
      </c>
      <c r="M9">
        <f t="shared" si="7"/>
        <v>20</v>
      </c>
      <c r="N9">
        <f t="shared" si="8"/>
        <v>15</v>
      </c>
      <c r="O9">
        <f t="shared" si="3"/>
        <v>0.14529914529914534</v>
      </c>
      <c r="P9">
        <f t="shared" si="4"/>
        <v>0.16666666666666663</v>
      </c>
      <c r="Q9">
        <f t="shared" si="5"/>
        <v>0.13043478260869568</v>
      </c>
    </row>
    <row r="10" spans="1:17">
      <c r="L10">
        <f t="shared" si="6"/>
        <v>18</v>
      </c>
      <c r="M10">
        <f t="shared" si="7"/>
        <v>21</v>
      </c>
      <c r="N10">
        <f t="shared" si="8"/>
        <v>16</v>
      </c>
      <c r="O10">
        <f t="shared" si="3"/>
        <v>0.15254237288135597</v>
      </c>
      <c r="P10">
        <f t="shared" si="4"/>
        <v>0.17355371900826444</v>
      </c>
      <c r="Q10">
        <f t="shared" si="5"/>
        <v>0.13793103448275867</v>
      </c>
    </row>
    <row r="11" spans="1:17">
      <c r="L11">
        <f t="shared" si="6"/>
        <v>19</v>
      </c>
      <c r="M11">
        <f t="shared" si="7"/>
        <v>22</v>
      </c>
      <c r="N11">
        <f t="shared" si="8"/>
        <v>17</v>
      </c>
      <c r="O11">
        <f t="shared" si="3"/>
        <v>0.15966386554621848</v>
      </c>
      <c r="P11">
        <f t="shared" si="4"/>
        <v>0.18032786885245899</v>
      </c>
      <c r="Q11">
        <f t="shared" si="5"/>
        <v>0.14529914529914534</v>
      </c>
    </row>
    <row r="12" spans="1:17">
      <c r="L12">
        <f t="shared" si="6"/>
        <v>20</v>
      </c>
      <c r="M12">
        <f t="shared" si="7"/>
        <v>23</v>
      </c>
      <c r="N12">
        <f t="shared" si="8"/>
        <v>18</v>
      </c>
      <c r="O12">
        <f t="shared" si="3"/>
        <v>0.16666666666666663</v>
      </c>
      <c r="P12">
        <f t="shared" si="4"/>
        <v>0.18699186991869921</v>
      </c>
      <c r="Q12">
        <f t="shared" si="5"/>
        <v>0.15254237288135597</v>
      </c>
    </row>
    <row r="13" spans="1:17">
      <c r="L13">
        <f t="shared" si="6"/>
        <v>21</v>
      </c>
      <c r="M13">
        <f t="shared" si="7"/>
        <v>24</v>
      </c>
      <c r="N13">
        <f t="shared" si="8"/>
        <v>19</v>
      </c>
      <c r="O13">
        <f t="shared" si="3"/>
        <v>0.17355371900826444</v>
      </c>
      <c r="P13">
        <f t="shared" si="4"/>
        <v>0.19354838709677424</v>
      </c>
      <c r="Q13">
        <f t="shared" si="5"/>
        <v>0.15966386554621848</v>
      </c>
    </row>
    <row r="14" spans="1:17">
      <c r="L14">
        <f t="shared" si="6"/>
        <v>22</v>
      </c>
      <c r="M14">
        <f t="shared" si="7"/>
        <v>25</v>
      </c>
      <c r="N14">
        <f t="shared" si="8"/>
        <v>20</v>
      </c>
      <c r="O14">
        <f t="shared" ref="O14:O15" si="9">1-(100/(100+L14))</f>
        <v>0.18032786885245899</v>
      </c>
      <c r="P14">
        <f t="shared" ref="P14:P15" si="10">1-(100/(100+M14))</f>
        <v>0.19999999999999996</v>
      </c>
      <c r="Q14">
        <f t="shared" ref="Q14:Q15" si="11">1-(100/(100+N14))</f>
        <v>0.16666666666666663</v>
      </c>
    </row>
    <row r="15" spans="1:17">
      <c r="L15">
        <f t="shared" si="6"/>
        <v>23</v>
      </c>
      <c r="M15">
        <f t="shared" si="7"/>
        <v>26</v>
      </c>
      <c r="N15">
        <f t="shared" si="8"/>
        <v>21</v>
      </c>
      <c r="O15">
        <f t="shared" si="9"/>
        <v>0.18699186991869921</v>
      </c>
      <c r="P15">
        <f t="shared" si="10"/>
        <v>0.20634920634920639</v>
      </c>
      <c r="Q15">
        <f t="shared" si="11"/>
        <v>0.17355371900826444</v>
      </c>
    </row>
    <row r="18" spans="12:17">
      <c r="L18">
        <v>16</v>
      </c>
      <c r="M18">
        <v>20</v>
      </c>
      <c r="N18">
        <v>13</v>
      </c>
      <c r="O18">
        <f t="shared" ref="O18" si="12">1-(100/(100+L18))</f>
        <v>0.13793103448275867</v>
      </c>
      <c r="P18">
        <f t="shared" ref="P18" si="13">1-(100/(100+M18))</f>
        <v>0.16666666666666663</v>
      </c>
      <c r="Q18">
        <f t="shared" ref="Q18" si="14">1-(100/(100+N18))</f>
        <v>0.11504424778761058</v>
      </c>
    </row>
    <row r="19" spans="12:17">
      <c r="L19">
        <f>L18+1</f>
        <v>17</v>
      </c>
      <c r="M19">
        <f>M18+1</f>
        <v>21</v>
      </c>
      <c r="N19">
        <f>N18+1</f>
        <v>14</v>
      </c>
      <c r="O19">
        <f t="shared" ref="O19" si="15">1-(100/(100+L19))</f>
        <v>0.14529914529914534</v>
      </c>
      <c r="P19">
        <f t="shared" ref="P19" si="16">1-(100/(100+M19))</f>
        <v>0.17355371900826444</v>
      </c>
      <c r="Q19">
        <f t="shared" ref="Q19" si="17">1-(100/(100+N19))</f>
        <v>0.1228070175438597</v>
      </c>
    </row>
    <row r="20" spans="12:17">
      <c r="L20">
        <f t="shared" ref="L20:L29" si="18">L19+1</f>
        <v>18</v>
      </c>
      <c r="M20">
        <f t="shared" ref="M20:M29" si="19">M19+1</f>
        <v>22</v>
      </c>
      <c r="N20">
        <f t="shared" ref="N20:N29" si="20">N19+1</f>
        <v>15</v>
      </c>
      <c r="O20">
        <f t="shared" ref="O20:O29" si="21">1-(100/(100+L20))</f>
        <v>0.15254237288135597</v>
      </c>
      <c r="P20">
        <f t="shared" ref="P20:P29" si="22">1-(100/(100+M20))</f>
        <v>0.18032786885245899</v>
      </c>
      <c r="Q20">
        <f t="shared" ref="Q20:Q29" si="23">1-(100/(100+N20))</f>
        <v>0.13043478260869568</v>
      </c>
    </row>
    <row r="21" spans="12:17">
      <c r="L21">
        <f t="shared" si="18"/>
        <v>19</v>
      </c>
      <c r="M21">
        <f t="shared" si="19"/>
        <v>23</v>
      </c>
      <c r="N21">
        <f t="shared" si="20"/>
        <v>16</v>
      </c>
      <c r="O21">
        <f t="shared" si="21"/>
        <v>0.15966386554621848</v>
      </c>
      <c r="P21">
        <f t="shared" si="22"/>
        <v>0.18699186991869921</v>
      </c>
      <c r="Q21">
        <f t="shared" si="23"/>
        <v>0.13793103448275867</v>
      </c>
    </row>
    <row r="22" spans="12:17">
      <c r="L22">
        <f t="shared" si="18"/>
        <v>20</v>
      </c>
      <c r="M22">
        <f t="shared" si="19"/>
        <v>24</v>
      </c>
      <c r="N22">
        <f t="shared" si="20"/>
        <v>17</v>
      </c>
      <c r="O22">
        <f t="shared" si="21"/>
        <v>0.16666666666666663</v>
      </c>
      <c r="P22">
        <f t="shared" si="22"/>
        <v>0.19354838709677424</v>
      </c>
      <c r="Q22">
        <f t="shared" si="23"/>
        <v>0.14529914529914534</v>
      </c>
    </row>
    <row r="23" spans="12:17">
      <c r="L23">
        <f t="shared" si="18"/>
        <v>21</v>
      </c>
      <c r="M23">
        <f t="shared" si="19"/>
        <v>25</v>
      </c>
      <c r="N23">
        <f t="shared" si="20"/>
        <v>18</v>
      </c>
      <c r="O23">
        <f t="shared" si="21"/>
        <v>0.17355371900826444</v>
      </c>
      <c r="P23">
        <f t="shared" si="22"/>
        <v>0.19999999999999996</v>
      </c>
      <c r="Q23">
        <f t="shared" si="23"/>
        <v>0.15254237288135597</v>
      </c>
    </row>
    <row r="24" spans="12:17">
      <c r="L24">
        <f t="shared" si="18"/>
        <v>22</v>
      </c>
      <c r="M24">
        <f t="shared" si="19"/>
        <v>26</v>
      </c>
      <c r="N24">
        <f t="shared" si="20"/>
        <v>19</v>
      </c>
      <c r="O24">
        <f t="shared" si="21"/>
        <v>0.18032786885245899</v>
      </c>
      <c r="P24">
        <f t="shared" si="22"/>
        <v>0.20634920634920639</v>
      </c>
      <c r="Q24">
        <f t="shared" si="23"/>
        <v>0.15966386554621848</v>
      </c>
    </row>
    <row r="25" spans="12:17">
      <c r="L25">
        <f t="shared" si="18"/>
        <v>23</v>
      </c>
      <c r="M25">
        <f t="shared" si="19"/>
        <v>27</v>
      </c>
      <c r="N25">
        <f t="shared" si="20"/>
        <v>20</v>
      </c>
      <c r="O25">
        <f t="shared" si="21"/>
        <v>0.18699186991869921</v>
      </c>
      <c r="P25">
        <f t="shared" si="22"/>
        <v>0.21259842519685035</v>
      </c>
      <c r="Q25">
        <f t="shared" si="23"/>
        <v>0.16666666666666663</v>
      </c>
    </row>
    <row r="26" spans="12:17">
      <c r="L26">
        <f t="shared" si="18"/>
        <v>24</v>
      </c>
      <c r="M26">
        <f t="shared" si="19"/>
        <v>28</v>
      </c>
      <c r="N26">
        <f t="shared" si="20"/>
        <v>21</v>
      </c>
      <c r="O26">
        <f t="shared" si="21"/>
        <v>0.19354838709677424</v>
      </c>
      <c r="P26">
        <f t="shared" si="22"/>
        <v>0.21875</v>
      </c>
      <c r="Q26">
        <f t="shared" si="23"/>
        <v>0.17355371900826444</v>
      </c>
    </row>
    <row r="27" spans="12:17">
      <c r="L27">
        <f t="shared" si="18"/>
        <v>25</v>
      </c>
      <c r="M27">
        <f t="shared" si="19"/>
        <v>29</v>
      </c>
      <c r="N27">
        <f t="shared" si="20"/>
        <v>22</v>
      </c>
      <c r="O27">
        <f t="shared" si="21"/>
        <v>0.19999999999999996</v>
      </c>
      <c r="P27">
        <f t="shared" si="22"/>
        <v>0.22480620155038755</v>
      </c>
      <c r="Q27">
        <f t="shared" si="23"/>
        <v>0.18032786885245899</v>
      </c>
    </row>
    <row r="28" spans="12:17">
      <c r="L28">
        <f t="shared" si="18"/>
        <v>26</v>
      </c>
      <c r="M28">
        <f t="shared" si="19"/>
        <v>30</v>
      </c>
      <c r="N28">
        <f t="shared" si="20"/>
        <v>23</v>
      </c>
      <c r="O28">
        <f t="shared" si="21"/>
        <v>0.20634920634920639</v>
      </c>
      <c r="P28">
        <f t="shared" si="22"/>
        <v>0.23076923076923073</v>
      </c>
      <c r="Q28">
        <f t="shared" si="23"/>
        <v>0.18699186991869921</v>
      </c>
    </row>
    <row r="29" spans="12:17">
      <c r="L29">
        <f t="shared" si="18"/>
        <v>27</v>
      </c>
      <c r="M29">
        <f t="shared" si="19"/>
        <v>31</v>
      </c>
      <c r="N29">
        <f t="shared" si="20"/>
        <v>24</v>
      </c>
      <c r="O29">
        <f t="shared" si="21"/>
        <v>0.21259842519685035</v>
      </c>
      <c r="P29">
        <f t="shared" si="22"/>
        <v>0.23664122137404575</v>
      </c>
      <c r="Q29">
        <f t="shared" si="23"/>
        <v>0.19354838709677424</v>
      </c>
    </row>
    <row r="31" spans="12:17">
      <c r="L31">
        <v>20</v>
      </c>
      <c r="M31">
        <v>25</v>
      </c>
      <c r="N31">
        <v>16</v>
      </c>
      <c r="O31">
        <f t="shared" ref="O31:O32" si="24">1-(100/(100+L31))</f>
        <v>0.16666666666666663</v>
      </c>
      <c r="P31">
        <f t="shared" ref="P31:P32" si="25">1-(100/(100+M31))</f>
        <v>0.19999999999999996</v>
      </c>
      <c r="Q31">
        <f t="shared" ref="Q31:Q32" si="26">1-(100/(100+N31))</f>
        <v>0.13793103448275867</v>
      </c>
    </row>
    <row r="32" spans="12:17">
      <c r="L32">
        <f>L31+1</f>
        <v>21</v>
      </c>
      <c r="M32">
        <f>M31+1</f>
        <v>26</v>
      </c>
      <c r="N32">
        <f>N31+1</f>
        <v>17</v>
      </c>
      <c r="O32">
        <f t="shared" si="24"/>
        <v>0.17355371900826444</v>
      </c>
      <c r="P32">
        <f t="shared" si="25"/>
        <v>0.20634920634920639</v>
      </c>
      <c r="Q32">
        <f t="shared" si="26"/>
        <v>0.14529914529914534</v>
      </c>
    </row>
    <row r="33" spans="12:17">
      <c r="L33">
        <f t="shared" ref="L33:L42" si="27">L32+1</f>
        <v>22</v>
      </c>
      <c r="M33">
        <f t="shared" ref="M33:M42" si="28">M32+1</f>
        <v>27</v>
      </c>
      <c r="N33">
        <f t="shared" ref="N33:N42" si="29">N32+1</f>
        <v>18</v>
      </c>
      <c r="O33">
        <f t="shared" ref="O33:O40" si="30">1-(100/(100+L33))</f>
        <v>0.18032786885245899</v>
      </c>
      <c r="P33">
        <f t="shared" ref="P33:P40" si="31">1-(100/(100+M33))</f>
        <v>0.21259842519685035</v>
      </c>
      <c r="Q33">
        <f t="shared" ref="Q33:Q40" si="32">1-(100/(100+N33))</f>
        <v>0.15254237288135597</v>
      </c>
    </row>
    <row r="34" spans="12:17">
      <c r="L34">
        <f t="shared" si="27"/>
        <v>23</v>
      </c>
      <c r="M34">
        <f t="shared" si="28"/>
        <v>28</v>
      </c>
      <c r="N34">
        <f t="shared" si="29"/>
        <v>19</v>
      </c>
      <c r="O34">
        <f t="shared" si="30"/>
        <v>0.18699186991869921</v>
      </c>
      <c r="P34">
        <f t="shared" si="31"/>
        <v>0.21875</v>
      </c>
      <c r="Q34">
        <f t="shared" si="32"/>
        <v>0.15966386554621848</v>
      </c>
    </row>
    <row r="35" spans="12:17">
      <c r="L35">
        <f t="shared" si="27"/>
        <v>24</v>
      </c>
      <c r="M35">
        <f t="shared" si="28"/>
        <v>29</v>
      </c>
      <c r="N35">
        <f t="shared" si="29"/>
        <v>20</v>
      </c>
      <c r="O35">
        <f t="shared" si="30"/>
        <v>0.19354838709677424</v>
      </c>
      <c r="P35">
        <f t="shared" si="31"/>
        <v>0.22480620155038755</v>
      </c>
      <c r="Q35">
        <f t="shared" si="32"/>
        <v>0.16666666666666663</v>
      </c>
    </row>
    <row r="36" spans="12:17">
      <c r="L36">
        <f t="shared" si="27"/>
        <v>25</v>
      </c>
      <c r="M36">
        <f t="shared" si="28"/>
        <v>30</v>
      </c>
      <c r="N36">
        <f t="shared" si="29"/>
        <v>21</v>
      </c>
      <c r="O36">
        <f t="shared" si="30"/>
        <v>0.19999999999999996</v>
      </c>
      <c r="P36">
        <f t="shared" si="31"/>
        <v>0.23076923076923073</v>
      </c>
      <c r="Q36">
        <f t="shared" si="32"/>
        <v>0.17355371900826444</v>
      </c>
    </row>
    <row r="37" spans="12:17">
      <c r="L37">
        <f t="shared" si="27"/>
        <v>26</v>
      </c>
      <c r="M37">
        <f t="shared" si="28"/>
        <v>31</v>
      </c>
      <c r="N37">
        <f t="shared" si="29"/>
        <v>22</v>
      </c>
      <c r="O37">
        <f t="shared" si="30"/>
        <v>0.20634920634920639</v>
      </c>
      <c r="P37">
        <f t="shared" si="31"/>
        <v>0.23664122137404575</v>
      </c>
      <c r="Q37">
        <f t="shared" si="32"/>
        <v>0.18032786885245899</v>
      </c>
    </row>
    <row r="38" spans="12:17">
      <c r="L38">
        <f t="shared" si="27"/>
        <v>27</v>
      </c>
      <c r="M38">
        <f t="shared" si="28"/>
        <v>32</v>
      </c>
      <c r="N38">
        <f t="shared" si="29"/>
        <v>23</v>
      </c>
      <c r="O38">
        <f t="shared" si="30"/>
        <v>0.21259842519685035</v>
      </c>
      <c r="P38">
        <f t="shared" si="31"/>
        <v>0.24242424242424243</v>
      </c>
      <c r="Q38">
        <f t="shared" si="32"/>
        <v>0.18699186991869921</v>
      </c>
    </row>
    <row r="39" spans="12:17">
      <c r="L39">
        <f t="shared" si="27"/>
        <v>28</v>
      </c>
      <c r="M39">
        <f t="shared" si="28"/>
        <v>33</v>
      </c>
      <c r="N39">
        <f t="shared" si="29"/>
        <v>24</v>
      </c>
      <c r="O39">
        <f t="shared" si="30"/>
        <v>0.21875</v>
      </c>
      <c r="P39">
        <f t="shared" si="31"/>
        <v>0.24812030075187974</v>
      </c>
      <c r="Q39">
        <f t="shared" si="32"/>
        <v>0.19354838709677424</v>
      </c>
    </row>
    <row r="40" spans="12:17">
      <c r="L40">
        <f t="shared" si="27"/>
        <v>29</v>
      </c>
      <c r="M40">
        <f t="shared" si="28"/>
        <v>34</v>
      </c>
      <c r="N40">
        <f t="shared" si="29"/>
        <v>25</v>
      </c>
      <c r="O40">
        <f t="shared" si="30"/>
        <v>0.22480620155038755</v>
      </c>
      <c r="P40">
        <f t="shared" si="31"/>
        <v>0.25373134328358204</v>
      </c>
      <c r="Q40">
        <f t="shared" si="32"/>
        <v>0.19999999999999996</v>
      </c>
    </row>
    <row r="41" spans="12:17">
      <c r="L41">
        <f t="shared" si="27"/>
        <v>30</v>
      </c>
      <c r="M41">
        <f t="shared" si="28"/>
        <v>35</v>
      </c>
      <c r="N41">
        <f t="shared" si="29"/>
        <v>26</v>
      </c>
      <c r="O41">
        <f t="shared" ref="O41:O42" si="33">1-(100/(100+L41))</f>
        <v>0.23076923076923073</v>
      </c>
      <c r="P41">
        <f t="shared" ref="P41:P42" si="34">1-(100/(100+M41))</f>
        <v>0.2592592592592593</v>
      </c>
      <c r="Q41">
        <f t="shared" ref="Q41:Q42" si="35">1-(100/(100+N41))</f>
        <v>0.20634920634920639</v>
      </c>
    </row>
    <row r="42" spans="12:17">
      <c r="L42">
        <f t="shared" si="27"/>
        <v>31</v>
      </c>
      <c r="M42">
        <f t="shared" si="28"/>
        <v>36</v>
      </c>
      <c r="N42">
        <f t="shared" si="29"/>
        <v>27</v>
      </c>
      <c r="O42">
        <f t="shared" si="33"/>
        <v>0.23664122137404575</v>
      </c>
      <c r="P42">
        <f t="shared" si="34"/>
        <v>0.26470588235294112</v>
      </c>
      <c r="Q42">
        <f t="shared" si="35"/>
        <v>0.21259842519685035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K7"/>
  <sheetViews>
    <sheetView workbookViewId="0">
      <selection activeCell="E7" sqref="E7"/>
    </sheetView>
  </sheetViews>
  <sheetFormatPr defaultRowHeight="14.25"/>
  <cols>
    <col min="3" max="3" width="13.125" customWidth="1"/>
    <col min="10" max="10" width="12.5" customWidth="1"/>
  </cols>
  <sheetData>
    <row r="2" spans="1:11" s="18" customFormat="1" ht="26.25" customHeight="1">
      <c r="A2" s="17" t="s">
        <v>30</v>
      </c>
      <c r="B2" s="18">
        <v>3</v>
      </c>
      <c r="H2" s="17" t="s">
        <v>32</v>
      </c>
      <c r="I2" s="18">
        <v>2</v>
      </c>
    </row>
    <row r="3" spans="1:11" s="18" customFormat="1" ht="26.25" customHeight="1">
      <c r="A3" s="17" t="s">
        <v>31</v>
      </c>
      <c r="B3" s="18">
        <v>2</v>
      </c>
      <c r="E3" s="19" t="s">
        <v>26</v>
      </c>
      <c r="H3" s="17" t="s">
        <v>33</v>
      </c>
      <c r="I3" s="18">
        <v>2</v>
      </c>
    </row>
    <row r="4" spans="1:11" s="18" customFormat="1" ht="26.25" customHeight="1">
      <c r="A4" s="17" t="s">
        <v>44</v>
      </c>
      <c r="B4" s="18">
        <v>30</v>
      </c>
      <c r="H4" s="17" t="s">
        <v>34</v>
      </c>
      <c r="I4" s="18">
        <v>20</v>
      </c>
    </row>
    <row r="6" spans="1:11">
      <c r="A6" s="1" t="s">
        <v>27</v>
      </c>
      <c r="B6" t="s">
        <v>28</v>
      </c>
      <c r="C6" s="1" t="s">
        <v>35</v>
      </c>
      <c r="H6" s="1" t="s">
        <v>27</v>
      </c>
      <c r="I6" t="s">
        <v>28</v>
      </c>
      <c r="J6" s="1" t="s">
        <v>37</v>
      </c>
    </row>
    <row r="7" spans="1:11">
      <c r="A7">
        <v>3744</v>
      </c>
      <c r="B7">
        <v>936</v>
      </c>
      <c r="C7">
        <v>3.7179487179487181</v>
      </c>
      <c r="D7" s="1" t="s">
        <v>36</v>
      </c>
      <c r="H7">
        <v>3480</v>
      </c>
      <c r="I7">
        <v>870</v>
      </c>
      <c r="J7">
        <v>4.3034482758620687</v>
      </c>
      <c r="K7" s="1" t="s">
        <v>36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基础攻防</vt:lpstr>
      <vt:lpstr>成长</vt:lpstr>
      <vt:lpstr>战斗模拟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2017-03-18T12:02:22Z</dcterms:modified>
</cp:coreProperties>
</file>